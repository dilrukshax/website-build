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rrent_Model_Extract" sheetId="2" state="visible" r:id="rId2"/>
    <sheet name="Plan_Pricing_Proposed" sheetId="3" state="visible" r:id="rId3"/>
    <sheet name="Feature_Limits" sheetId="4" state="visible" r:id="rId4"/>
    <sheet name="Usage_Input" sheetId="5" state="visible" r:id="rId5"/>
    <sheet name="Tier_Calculator" sheetId="6" state="visible" r:id="rId6"/>
    <sheet name="Upgrade_Mechanism" sheetId="7" state="visible" r:id="rId7"/>
    <sheet name="Architecture_Bluepri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164" fontId="0" fillId="4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5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0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Pricing Model Analysis &amp; Implementation Workbook</t>
        </is>
      </c>
    </row>
    <row r="3">
      <c r="A3" s="2" t="inlineStr">
        <is>
          <t>What this workbook gives you</t>
        </is>
      </c>
    </row>
    <row r="4">
      <c r="A4" t="inlineStr">
        <is>
          <t>1) Current pricing model extracted exactly from your original file.</t>
        </is>
      </c>
    </row>
    <row r="5">
      <c r="A5" t="inlineStr">
        <is>
          <t>2) Proposed base prices and add-on economics with editable assumptions.</t>
        </is>
      </c>
    </row>
    <row r="6">
      <c r="A6" t="inlineStr">
        <is>
          <t>3) Usage-driven tier calculator (monthly and annual total cost).</t>
        </is>
      </c>
    </row>
    <row r="7">
      <c r="A7" t="inlineStr">
        <is>
          <t>4) Upgrade passage mechanism (soft warning -&gt; hard limit -&gt; next-tier recommendation).</t>
        </is>
      </c>
    </row>
    <row r="8">
      <c r="A8" t="inlineStr">
        <is>
          <t>5) Architecture blueprint mapped to your existing Booking-Engine-CMS backend.</t>
        </is>
      </c>
    </row>
    <row r="11">
      <c r="A11" s="2" t="inlineStr">
        <is>
          <t>Key finding from source file</t>
        </is>
      </c>
    </row>
    <row r="12">
      <c r="A12" s="3" t="inlineStr">
        <is>
          <t>Only Starter has explicit base price in source: 6 USD/month or 70 USD/year. Freelance and Enterprise base prices are missing and must be finalized.</t>
        </is>
      </c>
    </row>
    <row r="14">
      <c r="A14" s="2" t="inlineStr">
        <is>
          <t>Recommended usage flow in product</t>
        </is>
      </c>
    </row>
    <row r="15">
      <c r="A15" t="inlineStr">
        <is>
          <t>- Collect usage events daily (instances, domains, messages, bookings, backlinks).</t>
        </is>
      </c>
    </row>
    <row r="16">
      <c r="A16" t="inlineStr">
        <is>
          <t>- Aggregate per tenant + billing cycle.</t>
        </is>
      </c>
    </row>
    <row r="17">
      <c r="A17" t="inlineStr">
        <is>
          <t>- Run pricing engine with plan limits and overage rates.</t>
        </is>
      </c>
    </row>
    <row r="18">
      <c r="A18" t="inlineStr">
        <is>
          <t>- Write invoice line items and send upgrade suggestions when threshold rules are met.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Current Model Extract (from /Users/dilandilaruksha/Downloads/Pricing model.xlsx)</t>
        </is>
      </c>
    </row>
    <row r="3">
      <c r="A3" s="5" t="inlineStr">
        <is>
          <t>Source Row</t>
        </is>
      </c>
      <c r="B3" s="5" t="inlineStr">
        <is>
          <t>Description</t>
        </is>
      </c>
      <c r="C3" s="5" t="inlineStr">
        <is>
          <t>Free</t>
        </is>
      </c>
      <c r="D3" s="5" t="inlineStr">
        <is>
          <t>Starter</t>
        </is>
      </c>
      <c r="E3" s="5" t="inlineStr">
        <is>
          <t>Freelance</t>
        </is>
      </c>
      <c r="F3" s="5" t="inlineStr">
        <is>
          <t>Enterprise</t>
        </is>
      </c>
    </row>
    <row r="4">
      <c r="A4" s="6" t="n">
        <v>1</v>
      </c>
      <c r="B4" s="7" t="inlineStr">
        <is>
          <t>Anually</t>
        </is>
      </c>
      <c r="C4" s="6" t="n">
        <v>0</v>
      </c>
      <c r="D4" s="6" t="inlineStr">
        <is>
          <t>70 UDS</t>
        </is>
      </c>
      <c r="E4" s="6" t="n"/>
      <c r="F4" s="6" t="n"/>
    </row>
    <row r="5">
      <c r="A5" s="6" t="n">
        <v>2</v>
      </c>
      <c r="B5" s="7" t="inlineStr">
        <is>
          <t>monthly</t>
        </is>
      </c>
      <c r="C5" s="6" t="n">
        <v>0</v>
      </c>
      <c r="D5" s="6" t="inlineStr">
        <is>
          <t>6 USD</t>
        </is>
      </c>
      <c r="E5" s="6" t="n"/>
      <c r="F5" s="6" t="n"/>
    </row>
    <row r="6">
      <c r="A6" s="6" t="n">
        <v>5</v>
      </c>
      <c r="B6" s="7" t="inlineStr">
        <is>
          <t>Description</t>
        </is>
      </c>
      <c r="C6" s="6" t="inlineStr">
        <is>
          <t>Free</t>
        </is>
      </c>
      <c r="D6" s="6" t="inlineStr">
        <is>
          <t>Starter</t>
        </is>
      </c>
      <c r="E6" s="6" t="inlineStr">
        <is>
          <t>Freelance</t>
        </is>
      </c>
      <c r="F6" s="6" t="inlineStr">
        <is>
          <t>Enterprise</t>
        </is>
      </c>
    </row>
    <row r="7">
      <c r="A7" s="6" t="n">
        <v>6</v>
      </c>
      <c r="B7" s="7" t="inlineStr">
        <is>
          <t>Instance</t>
        </is>
      </c>
      <c r="C7" s="6" t="n">
        <v>1</v>
      </c>
      <c r="D7" s="6" t="n">
        <v>1</v>
      </c>
      <c r="E7" s="6" t="n">
        <v>10</v>
      </c>
      <c r="F7" s="6" t="n">
        <v>100</v>
      </c>
    </row>
    <row r="8">
      <c r="A8" s="6" t="n">
        <v>7</v>
      </c>
      <c r="B8" s="7" t="inlineStr">
        <is>
          <t>Custom domains</t>
        </is>
      </c>
      <c r="C8" s="6" t="inlineStr">
        <is>
          <t>10 USD</t>
        </is>
      </c>
      <c r="D8" s="6" t="n">
        <v>1</v>
      </c>
      <c r="E8" s="6" t="n">
        <v>10</v>
      </c>
      <c r="F8" s="6" t="n">
        <v>100</v>
      </c>
    </row>
    <row r="9">
      <c r="A9" s="6" t="n">
        <v>8</v>
      </c>
      <c r="B9" s="7" t="inlineStr">
        <is>
          <t>Add-on Instance + Domain</t>
        </is>
      </c>
      <c r="C9" s="6" t="inlineStr">
        <is>
          <t>No</t>
        </is>
      </c>
      <c r="D9" s="6" t="inlineStr">
        <is>
          <t>3 USD / pm
24 USD / pa</t>
        </is>
      </c>
      <c r="E9" s="6" t="inlineStr">
        <is>
          <t>3 USD / pm
24 USD / pa</t>
        </is>
      </c>
      <c r="F9" s="6" t="inlineStr">
        <is>
          <t>3 USD / pm
24 USD / pa</t>
        </is>
      </c>
    </row>
    <row r="10">
      <c r="A10" s="6" t="n">
        <v>9</v>
      </c>
      <c r="B10" s="7" t="inlineStr">
        <is>
          <t>No of pages / per web</t>
        </is>
      </c>
      <c r="C10" s="6" t="inlineStr">
        <is>
          <t>5 Pages</t>
        </is>
      </c>
      <c r="D10" s="6" t="inlineStr">
        <is>
          <t>25 Pages</t>
        </is>
      </c>
      <c r="E10" s="6" t="inlineStr">
        <is>
          <t>25 Pages</t>
        </is>
      </c>
      <c r="F10" s="6" t="inlineStr">
        <is>
          <t>Unlimited</t>
        </is>
      </c>
    </row>
    <row r="11">
      <c r="A11" s="6" t="n">
        <v>10</v>
      </c>
      <c r="B11" s="7" t="inlineStr">
        <is>
          <t>Accessible Themes</t>
        </is>
      </c>
      <c r="C11" s="6" t="n">
        <v>10</v>
      </c>
      <c r="D11" s="6" t="n">
        <v>100</v>
      </c>
      <c r="E11" s="6" t="n">
        <v>100</v>
      </c>
      <c r="F11" s="6" t="n">
        <v>100</v>
      </c>
    </row>
    <row r="12">
      <c r="A12" s="6" t="n">
        <v>11</v>
      </c>
      <c r="B12" s="7" t="inlineStr">
        <is>
          <t>Premium Templates</t>
        </is>
      </c>
      <c r="C12" s="6" t="inlineStr">
        <is>
          <t>No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Yes</t>
        </is>
      </c>
    </row>
    <row r="13">
      <c r="A13" s="6" t="n">
        <v>12</v>
      </c>
      <c r="B13" s="7" t="inlineStr">
        <is>
          <t>Technical Support</t>
        </is>
      </c>
      <c r="C13" s="6" t="inlineStr">
        <is>
          <t>Limited</t>
        </is>
      </c>
      <c r="D13" s="6" t="inlineStr">
        <is>
          <t>Full</t>
        </is>
      </c>
      <c r="E13" s="6" t="inlineStr">
        <is>
          <t>Full</t>
        </is>
      </c>
      <c r="F13" s="6" t="inlineStr">
        <is>
          <t>Full</t>
        </is>
      </c>
    </row>
    <row r="14">
      <c r="A14" s="6" t="n">
        <v>13</v>
      </c>
      <c r="B14" s="7" t="inlineStr">
        <is>
          <t>Claim Dynamic Ads</t>
        </is>
      </c>
      <c r="C14" s="6" t="inlineStr">
        <is>
          <t>No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Yes</t>
        </is>
      </c>
    </row>
    <row r="15">
      <c r="A15" s="6" t="n">
        <v>15</v>
      </c>
      <c r="B15" s="7" t="inlineStr">
        <is>
          <t>Bookings per day</t>
        </is>
      </c>
      <c r="C15" s="6" t="n">
        <v>10</v>
      </c>
      <c r="D15" s="6" t="inlineStr">
        <is>
          <t>Unlimited</t>
        </is>
      </c>
      <c r="E15" s="6" t="inlineStr">
        <is>
          <t>Unlimited</t>
        </is>
      </c>
      <c r="F15" s="6" t="inlineStr">
        <is>
          <t>Unlimited</t>
        </is>
      </c>
    </row>
    <row r="16">
      <c r="A16" s="6" t="n">
        <v>16</v>
      </c>
      <c r="B16" s="7" t="inlineStr">
        <is>
          <t>Active Services to Display</t>
        </is>
      </c>
      <c r="C16" s="6" t="n">
        <v>5</v>
      </c>
      <c r="D16" s="6" t="inlineStr">
        <is>
          <t>Unlimited</t>
        </is>
      </c>
      <c r="E16" s="6" t="inlineStr">
        <is>
          <t>Unlimited</t>
        </is>
      </c>
      <c r="F16" s="6" t="inlineStr">
        <is>
          <t>Unlimited</t>
        </is>
      </c>
    </row>
    <row r="17">
      <c r="A17" s="6" t="n">
        <v>17</v>
      </c>
      <c r="B17" s="7" t="inlineStr">
        <is>
          <t>Staff accounts creation</t>
        </is>
      </c>
      <c r="C17" s="6" t="inlineStr">
        <is>
          <t>No</t>
        </is>
      </c>
      <c r="D17" s="6" t="inlineStr">
        <is>
          <t>Yes</t>
        </is>
      </c>
      <c r="E17" s="6" t="inlineStr">
        <is>
          <t>Yes</t>
        </is>
      </c>
      <c r="F17" s="6" t="inlineStr">
        <is>
          <t>Yes</t>
        </is>
      </c>
    </row>
    <row r="18">
      <c r="A18" s="6" t="n">
        <v>19</v>
      </c>
      <c r="B18" s="7" t="inlineStr">
        <is>
          <t>SEO Content Auto Generation</t>
        </is>
      </c>
      <c r="C18" s="6" t="inlineStr">
        <is>
          <t>No</t>
        </is>
      </c>
      <c r="D18" s="6" t="inlineStr">
        <is>
          <t>Yes</t>
        </is>
      </c>
      <c r="E18" s="6" t="inlineStr">
        <is>
          <t>Yes</t>
        </is>
      </c>
      <c r="F18" s="6" t="inlineStr">
        <is>
          <t>Yes</t>
        </is>
      </c>
    </row>
    <row r="19">
      <c r="A19" s="6" t="n">
        <v>20</v>
      </c>
      <c r="B19" s="7" t="inlineStr">
        <is>
          <t>AEO Data feeding</t>
        </is>
      </c>
      <c r="C19" s="6" t="inlineStr">
        <is>
          <t>No</t>
        </is>
      </c>
      <c r="D19" s="6" t="inlineStr">
        <is>
          <t>Yes</t>
        </is>
      </c>
      <c r="E19" s="6" t="inlineStr">
        <is>
          <t>Yes</t>
        </is>
      </c>
      <c r="F19" s="6" t="inlineStr">
        <is>
          <t>Yes</t>
        </is>
      </c>
    </row>
    <row r="20">
      <c r="A20" s="6" t="n">
        <v>22</v>
      </c>
      <c r="B20" s="7" t="inlineStr">
        <is>
          <t>Inbox Automation</t>
        </is>
      </c>
      <c r="C20" s="6" t="inlineStr">
        <is>
          <t>50 messages / per day</t>
        </is>
      </c>
      <c r="D20" s="6" t="inlineStr">
        <is>
          <t>200 messages / pd / pi</t>
        </is>
      </c>
      <c r="E20" s="6" t="inlineStr">
        <is>
          <t>200 messages / pd / pi</t>
        </is>
      </c>
      <c r="F20" s="6" t="inlineStr">
        <is>
          <t>200 messages / pd / pi</t>
        </is>
      </c>
    </row>
    <row r="21">
      <c r="A21" s="6" t="n">
        <v>23</v>
      </c>
      <c r="B21" s="7" t="inlineStr">
        <is>
          <t>Additional messages</t>
        </is>
      </c>
      <c r="C21" s="6" t="inlineStr">
        <is>
          <t>0.05 USD / pm</t>
        </is>
      </c>
      <c r="D21" s="6" t="inlineStr">
        <is>
          <t>0.05 USD / pm</t>
        </is>
      </c>
      <c r="E21" s="6" t="inlineStr">
        <is>
          <t>0.05 USD / pm</t>
        </is>
      </c>
      <c r="F21" s="6" t="inlineStr">
        <is>
          <t>0.05 USD / pm</t>
        </is>
      </c>
    </row>
    <row r="22">
      <c r="A22" s="6" t="n">
        <v>24</v>
      </c>
      <c r="B22" s="7" t="inlineStr">
        <is>
          <t>Gemini AI key integration</t>
        </is>
      </c>
      <c r="C22" s="6" t="inlineStr">
        <is>
          <t>No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</row>
    <row r="23">
      <c r="A23" s="6" t="n">
        <v>26</v>
      </c>
      <c r="B23" s="7" t="inlineStr">
        <is>
          <t>External Calender sync</t>
        </is>
      </c>
      <c r="C23" s="6" t="inlineStr">
        <is>
          <t>No</t>
        </is>
      </c>
      <c r="D23" s="6" t="inlineStr">
        <is>
          <t>Yes</t>
        </is>
      </c>
      <c r="E23" s="6" t="inlineStr">
        <is>
          <t>Yes</t>
        </is>
      </c>
      <c r="F23" s="6" t="inlineStr">
        <is>
          <t>Yes</t>
        </is>
      </c>
    </row>
    <row r="24">
      <c r="A24" s="6" t="n">
        <v>27</v>
      </c>
      <c r="B24" s="7" t="inlineStr">
        <is>
          <t>Coversion API integration</t>
        </is>
      </c>
      <c r="C24" s="6" t="inlineStr">
        <is>
          <t>Yes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</row>
    <row r="25">
      <c r="A25" s="6" t="n">
        <v>29</v>
      </c>
      <c r="B25" s="7" t="inlineStr">
        <is>
          <t>Email notification</t>
        </is>
      </c>
      <c r="C25" s="6" t="n"/>
      <c r="D25" s="6" t="n"/>
      <c r="E25" s="6" t="n"/>
      <c r="F25" s="6" t="n"/>
    </row>
    <row r="26">
      <c r="A26" s="6" t="n">
        <v>30</v>
      </c>
      <c r="B26" s="7" t="inlineStr">
        <is>
          <t>-- Transactional</t>
        </is>
      </c>
      <c r="C26" s="6" t="inlineStr">
        <is>
          <t>Yes</t>
        </is>
      </c>
      <c r="D26" s="6" t="inlineStr">
        <is>
          <t>Yes</t>
        </is>
      </c>
      <c r="E26" s="6" t="inlineStr">
        <is>
          <t>Yes</t>
        </is>
      </c>
      <c r="F26" s="6" t="inlineStr">
        <is>
          <t>Yes</t>
        </is>
      </c>
    </row>
    <row r="27">
      <c r="A27" s="6" t="n">
        <v>31</v>
      </c>
      <c r="B27" s="7" t="inlineStr">
        <is>
          <t>-- Marketing</t>
        </is>
      </c>
      <c r="C27" s="6" t="inlineStr">
        <is>
          <t>No</t>
        </is>
      </c>
      <c r="D27" s="6" t="inlineStr">
        <is>
          <t>Yes</t>
        </is>
      </c>
      <c r="E27" s="6" t="inlineStr">
        <is>
          <t>Yes</t>
        </is>
      </c>
      <c r="F27" s="6" t="inlineStr">
        <is>
          <t>Yes</t>
        </is>
      </c>
    </row>
    <row r="28">
      <c r="A28" s="6" t="n">
        <v>33</v>
      </c>
      <c r="B28" s="7" t="inlineStr">
        <is>
          <t>Backlinks</t>
        </is>
      </c>
      <c r="C28" s="6" t="n">
        <v>3</v>
      </c>
      <c r="D28" s="6" t="n">
        <v>15</v>
      </c>
      <c r="E28" s="6" t="n">
        <v>100</v>
      </c>
      <c r="F28" s="6" t="inlineStr">
        <is>
          <t>Unlimited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6" customWidth="1" min="4" max="4"/>
    <col width="14" customWidth="1" min="5" max="5"/>
    <col width="56" customWidth="1" min="6" max="6"/>
    <col width="4" customWidth="1" min="7" max="7"/>
    <col width="40" customWidth="1" min="8" max="8"/>
    <col width="16" customWidth="1" min="9" max="9"/>
  </cols>
  <sheetData>
    <row r="1">
      <c r="A1" s="4" t="inlineStr">
        <is>
          <t>Base Pricing + Add-on Economics (Editable Proposal)</t>
        </is>
      </c>
    </row>
    <row r="3">
      <c r="A3" s="5" t="inlineStr">
        <is>
          <t>Tier</t>
        </is>
      </c>
      <c r="B3" s="5" t="inlineStr">
        <is>
          <t>Monthly Base (USD)</t>
        </is>
      </c>
      <c r="C3" s="5" t="inlineStr">
        <is>
          <t>Annual Base (USD)</t>
        </is>
      </c>
      <c r="D3" s="5" t="inlineStr">
        <is>
          <t>Annual Discount %</t>
        </is>
      </c>
      <c r="E3" s="5" t="inlineStr">
        <is>
          <t>Status</t>
        </is>
      </c>
      <c r="F3" s="5" t="inlineStr">
        <is>
          <t>Notes</t>
        </is>
      </c>
      <c r="H3" s="2" t="inlineStr">
        <is>
          <t>Assumptions for missing base prices</t>
        </is>
      </c>
    </row>
    <row r="4">
      <c r="A4" s="6" t="inlineStr">
        <is>
          <t>free</t>
        </is>
      </c>
      <c r="B4" s="8" t="n">
        <v>0</v>
      </c>
      <c r="C4" s="8" t="n">
        <v>0</v>
      </c>
      <c r="D4" s="9">
        <f>IF(B4=0,0,1-C4/(B4*12))</f>
        <v/>
      </c>
      <c r="E4" s="6" t="inlineStr">
        <is>
          <t>Confirmed</t>
        </is>
      </c>
      <c r="F4" s="7" t="inlineStr">
        <is>
          <t>From source file (monthly and annual = 0).</t>
        </is>
      </c>
      <c r="H4" s="10" t="inlineStr">
        <is>
          <t>Starter monthly (reference)</t>
        </is>
      </c>
      <c r="I4" s="10">
        <f>B5</f>
        <v/>
      </c>
    </row>
    <row r="5">
      <c r="A5" s="6" t="inlineStr">
        <is>
          <t>starter</t>
        </is>
      </c>
      <c r="B5" s="8" t="n">
        <v>6</v>
      </c>
      <c r="C5" s="8" t="n">
        <v>70</v>
      </c>
      <c r="D5" s="9">
        <f>IF(B5=0,0,1-C5/(B5*12))</f>
        <v/>
      </c>
      <c r="E5" s="6" t="inlineStr">
        <is>
          <t>Confirmed</t>
        </is>
      </c>
      <c r="F5" s="7" t="inlineStr">
        <is>
          <t>From source file (6 USD/month, 70 USD/year).</t>
        </is>
      </c>
      <c r="H5" s="10" t="inlineStr">
        <is>
          <t>Add-on pack monthly (instance+domain)</t>
        </is>
      </c>
      <c r="I5" s="10" t="n">
        <v>3</v>
      </c>
    </row>
    <row r="6">
      <c r="A6" s="6" t="inlineStr">
        <is>
          <t>freelance</t>
        </is>
      </c>
      <c r="B6" s="8">
        <f>ROUND($I$4 + MAX(0,$I$6-1)*$I$5*$I$8 + $I$10,0)</f>
        <v/>
      </c>
      <c r="C6" s="8">
        <f>ROUND(B6*12*(1-$I$12),0)</f>
        <v/>
      </c>
      <c r="D6" s="9">
        <f>IF(B6=0,0,1-C6/(B6*12))</f>
        <v/>
      </c>
      <c r="E6" s="6" t="inlineStr">
        <is>
          <t>Proposed</t>
        </is>
      </c>
      <c r="F6" s="7" t="inlineStr">
        <is>
          <t>Derived from included capacity + feature premium. Edit assumptions in H:I.</t>
        </is>
      </c>
      <c r="H6" s="10" t="inlineStr">
        <is>
          <t>Freelance included instances</t>
        </is>
      </c>
      <c r="I6" s="10" t="n">
        <v>10</v>
      </c>
    </row>
    <row r="7">
      <c r="A7" s="6" t="inlineStr">
        <is>
          <t>enterprise</t>
        </is>
      </c>
      <c r="B7" s="8">
        <f>ROUND($I$4 + MAX(0,$I$7-1)*$I$5*$I$9 + $I$11,0)</f>
        <v/>
      </c>
      <c r="C7" s="8">
        <f>ROUND(B7*12*(1-$I$12),0)</f>
        <v/>
      </c>
      <c r="D7" s="9">
        <f>IF(B7=0,0,1-C7/(B7*12))</f>
        <v/>
      </c>
      <c r="E7" s="6" t="inlineStr">
        <is>
          <t>Proposed</t>
        </is>
      </c>
      <c r="F7" s="7" t="inlineStr">
        <is>
          <t>Derived from volume discount and enterprise premium. Can switch to Custom pricing.</t>
        </is>
      </c>
      <c r="H7" s="10" t="inlineStr">
        <is>
          <t>Enterprise included instances</t>
        </is>
      </c>
      <c r="I7" s="10" t="n">
        <v>100</v>
      </c>
    </row>
    <row r="8">
      <c r="H8" s="10" t="inlineStr">
        <is>
          <t>Freelance volume factor</t>
        </is>
      </c>
      <c r="I8" s="10" t="n">
        <v>0.8</v>
      </c>
    </row>
    <row r="9">
      <c r="H9" s="10" t="inlineStr">
        <is>
          <t>Enterprise volume factor</t>
        </is>
      </c>
      <c r="I9" s="10" t="n">
        <v>0.4</v>
      </c>
    </row>
    <row r="10">
      <c r="A10" s="2" t="inlineStr">
        <is>
          <t>Add-ons &amp; Overage</t>
        </is>
      </c>
      <c r="H10" s="10" t="inlineStr">
        <is>
          <t>Freelance feature premium</t>
        </is>
      </c>
      <c r="I10" s="10" t="n">
        <v>12</v>
      </c>
    </row>
    <row r="11">
      <c r="A11" s="11" t="inlineStr">
        <is>
          <t>Item</t>
        </is>
      </c>
      <c r="B11" s="11" t="inlineStr">
        <is>
          <t>Monthly Price (USD)</t>
        </is>
      </c>
      <c r="C11" s="11" t="inlineStr">
        <is>
          <t>Annual Price (USD)</t>
        </is>
      </c>
      <c r="D11" s="11" t="inlineStr">
        <is>
          <t>Unit</t>
        </is>
      </c>
      <c r="E11" s="11" t="inlineStr">
        <is>
          <t>Status</t>
        </is>
      </c>
      <c r="F11" s="11" t="inlineStr">
        <is>
          <t>Notes</t>
        </is>
      </c>
      <c r="H11" s="10" t="inlineStr">
        <is>
          <t>Enterprise feature premium</t>
        </is>
      </c>
      <c r="I11" s="10" t="n">
        <v>30</v>
      </c>
    </row>
    <row r="12">
      <c r="A12" s="6" t="inlineStr">
        <is>
          <t>Instance + Domain add-on pack</t>
        </is>
      </c>
      <c r="B12" s="8" t="n">
        <v>3</v>
      </c>
      <c r="C12" s="8" t="n">
        <v>24</v>
      </c>
      <c r="D12" s="6" t="inlineStr">
        <is>
          <t>per pack</t>
        </is>
      </c>
      <c r="E12" s="6" t="inlineStr">
        <is>
          <t>Confirmed</t>
        </is>
      </c>
      <c r="F12" s="7" t="inlineStr">
        <is>
          <t>From source row "Add-on Instance + Domain"</t>
        </is>
      </c>
      <c r="H12" s="10" t="inlineStr">
        <is>
          <t>Target annual discount (for proposed tiers)</t>
        </is>
      </c>
      <c r="I12" s="12" t="n">
        <v>0.15</v>
      </c>
    </row>
    <row r="13">
      <c r="A13" s="6" t="inlineStr">
        <is>
          <t>Additional inbox messages</t>
        </is>
      </c>
      <c r="B13" s="8" t="n">
        <v>0.05</v>
      </c>
      <c r="C13" s="8">
        <f>B13*12</f>
        <v/>
      </c>
      <c r="D13" s="6" t="inlineStr">
        <is>
          <t>per message</t>
        </is>
      </c>
      <c r="E13" s="6" t="inlineStr">
        <is>
          <t>Confirmed</t>
        </is>
      </c>
      <c r="F13" s="7" t="inlineStr">
        <is>
          <t>From source row "Additional messages"</t>
        </is>
      </c>
    </row>
    <row r="14">
      <c r="A14" s="6" t="inlineStr">
        <is>
          <t>Custom domain fee on Free plan</t>
        </is>
      </c>
      <c r="B14" s="8" t="n">
        <v>10</v>
      </c>
      <c r="C14" s="8">
        <f>B14*12</f>
        <v/>
      </c>
      <c r="D14" s="6" t="inlineStr">
        <is>
          <t>per domain</t>
        </is>
      </c>
      <c r="E14" s="6" t="inlineStr">
        <is>
          <t>Inferred</t>
        </is>
      </c>
      <c r="F14" s="7" t="inlineStr">
        <is>
          <t>Source shows "10 USD" under Free for custom domains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56" customWidth="1" min="9" max="9"/>
  </cols>
  <sheetData>
    <row r="1">
      <c r="A1" s="4" t="inlineStr">
        <is>
          <t>Normalized feature limits and capabilities per tier</t>
        </is>
      </c>
    </row>
    <row r="3">
      <c r="A3" s="5" t="inlineStr">
        <is>
          <t>metric_key</t>
        </is>
      </c>
      <c r="B3" s="5" t="inlineStr">
        <is>
          <t>unit</t>
        </is>
      </c>
      <c r="C3" s="5" t="inlineStr">
        <is>
          <t>type</t>
        </is>
      </c>
      <c r="D3" s="5" t="inlineStr">
        <is>
          <t>free</t>
        </is>
      </c>
      <c r="E3" s="5" t="inlineStr">
        <is>
          <t>starter</t>
        </is>
      </c>
      <c r="F3" s="5" t="inlineStr">
        <is>
          <t>freelance</t>
        </is>
      </c>
      <c r="G3" s="5" t="inlineStr">
        <is>
          <t>enterprise</t>
        </is>
      </c>
      <c r="H3" s="5" t="inlineStr">
        <is>
          <t>overage_rate_usd_monthly</t>
        </is>
      </c>
      <c r="I3" s="5" t="inlineStr">
        <is>
          <t>source_note</t>
        </is>
      </c>
    </row>
    <row r="4">
      <c r="A4" s="6" t="inlineStr">
        <is>
          <t>instances</t>
        </is>
      </c>
      <c r="B4" s="6" t="inlineStr">
        <is>
          <t>count</t>
        </is>
      </c>
      <c r="C4" s="6" t="inlineStr">
        <is>
          <t>limit</t>
        </is>
      </c>
      <c r="D4" s="6" t="n">
        <v>1</v>
      </c>
      <c r="E4" s="6" t="n">
        <v>1</v>
      </c>
      <c r="F4" s="6" t="n">
        <v>10</v>
      </c>
      <c r="G4" s="6" t="n">
        <v>100</v>
      </c>
      <c r="H4" s="8" t="n">
        <v>0</v>
      </c>
      <c r="I4" s="7" t="inlineStr">
        <is>
          <t>Source row "Instance"</t>
        </is>
      </c>
    </row>
    <row r="5">
      <c r="A5" s="6" t="inlineStr">
        <is>
          <t>custom_domains_included</t>
        </is>
      </c>
      <c r="B5" s="6" t="inlineStr">
        <is>
          <t>count</t>
        </is>
      </c>
      <c r="C5" s="6" t="inlineStr">
        <is>
          <t>limit</t>
        </is>
      </c>
      <c r="D5" s="6" t="n">
        <v>0</v>
      </c>
      <c r="E5" s="6" t="n">
        <v>1</v>
      </c>
      <c r="F5" s="6" t="n">
        <v>10</v>
      </c>
      <c r="G5" s="6" t="n">
        <v>100</v>
      </c>
      <c r="H5" s="8" t="n">
        <v>0</v>
      </c>
      <c r="I5" s="7" t="inlineStr">
        <is>
          <t>Free tier shows 10 USD fee, so included set to 0 (inferred).</t>
        </is>
      </c>
    </row>
    <row r="6">
      <c r="A6" s="6" t="inlineStr">
        <is>
          <t>pages_per_site</t>
        </is>
      </c>
      <c r="B6" s="6" t="inlineStr">
        <is>
          <t>count</t>
        </is>
      </c>
      <c r="C6" s="6" t="inlineStr">
        <is>
          <t>limit</t>
        </is>
      </c>
      <c r="D6" s="6" t="n">
        <v>5</v>
      </c>
      <c r="E6" s="6" t="n">
        <v>25</v>
      </c>
      <c r="F6" s="6" t="n">
        <v>25</v>
      </c>
      <c r="G6" s="6" t="n">
        <v>999999</v>
      </c>
      <c r="H6" s="8" t="n">
        <v>0</v>
      </c>
      <c r="I6" s="7" t="inlineStr">
        <is>
          <t>Source row "No of pages / per web"</t>
        </is>
      </c>
    </row>
    <row r="7">
      <c r="A7" s="6" t="inlineStr">
        <is>
          <t>accessible_themes</t>
        </is>
      </c>
      <c r="B7" s="6" t="inlineStr">
        <is>
          <t>count</t>
        </is>
      </c>
      <c r="C7" s="6" t="inlineStr">
        <is>
          <t>limit</t>
        </is>
      </c>
      <c r="D7" s="6" t="n">
        <v>10</v>
      </c>
      <c r="E7" s="6" t="n">
        <v>100</v>
      </c>
      <c r="F7" s="6" t="n">
        <v>100</v>
      </c>
      <c r="G7" s="6" t="n">
        <v>100</v>
      </c>
      <c r="H7" s="8" t="n">
        <v>0</v>
      </c>
      <c r="I7" s="7" t="inlineStr">
        <is>
          <t>Source row "Accessible Themes"</t>
        </is>
      </c>
    </row>
    <row r="8">
      <c r="A8" s="6" t="inlineStr">
        <is>
          <t>bookings_per_day</t>
        </is>
      </c>
      <c r="B8" s="6" t="inlineStr">
        <is>
          <t>count</t>
        </is>
      </c>
      <c r="C8" s="6" t="inlineStr">
        <is>
          <t>limit</t>
        </is>
      </c>
      <c r="D8" s="6" t="n">
        <v>10</v>
      </c>
      <c r="E8" s="6" t="n">
        <v>999999</v>
      </c>
      <c r="F8" s="6" t="n">
        <v>999999</v>
      </c>
      <c r="G8" s="6" t="n">
        <v>999999</v>
      </c>
      <c r="H8" s="8" t="n">
        <v>0</v>
      </c>
      <c r="I8" s="7" t="inlineStr">
        <is>
          <t>Source row "Bookings per day"</t>
        </is>
      </c>
    </row>
    <row r="9">
      <c r="A9" s="6" t="inlineStr">
        <is>
          <t>active_services</t>
        </is>
      </c>
      <c r="B9" s="6" t="inlineStr">
        <is>
          <t>count</t>
        </is>
      </c>
      <c r="C9" s="6" t="inlineStr">
        <is>
          <t>limit</t>
        </is>
      </c>
      <c r="D9" s="6" t="n">
        <v>5</v>
      </c>
      <c r="E9" s="6" t="n">
        <v>999999</v>
      </c>
      <c r="F9" s="6" t="n">
        <v>999999</v>
      </c>
      <c r="G9" s="6" t="n">
        <v>999999</v>
      </c>
      <c r="H9" s="8" t="n">
        <v>0</v>
      </c>
      <c r="I9" s="7" t="inlineStr">
        <is>
          <t>Source row "Active Services to Display"</t>
        </is>
      </c>
    </row>
    <row r="10">
      <c r="A10" s="6" t="inlineStr">
        <is>
          <t>inbox_messages_per_day</t>
        </is>
      </c>
      <c r="B10" s="6" t="inlineStr">
        <is>
          <t>count</t>
        </is>
      </c>
      <c r="C10" s="6" t="inlineStr">
        <is>
          <t>limit</t>
        </is>
      </c>
      <c r="D10" s="6" t="n">
        <v>50</v>
      </c>
      <c r="E10" s="6" t="n">
        <v>200</v>
      </c>
      <c r="F10" s="6" t="n">
        <v>200</v>
      </c>
      <c r="G10" s="6" t="n">
        <v>200</v>
      </c>
      <c r="H10" s="8" t="n">
        <v>0.05</v>
      </c>
      <c r="I10" s="7" t="inlineStr">
        <is>
          <t>Source row "Inbox Automation" + "Additional messages"</t>
        </is>
      </c>
    </row>
    <row r="11">
      <c r="A11" s="6" t="inlineStr">
        <is>
          <t>backlinks</t>
        </is>
      </c>
      <c r="B11" s="6" t="inlineStr">
        <is>
          <t>count</t>
        </is>
      </c>
      <c r="C11" s="6" t="inlineStr">
        <is>
          <t>limit</t>
        </is>
      </c>
      <c r="D11" s="6" t="n">
        <v>3</v>
      </c>
      <c r="E11" s="6" t="n">
        <v>15</v>
      </c>
      <c r="F11" s="6" t="n">
        <v>100</v>
      </c>
      <c r="G11" s="6" t="n">
        <v>999999</v>
      </c>
      <c r="H11" s="8" t="n">
        <v>0</v>
      </c>
      <c r="I11" s="7" t="inlineStr">
        <is>
          <t>Source row "Backlinks"</t>
        </is>
      </c>
    </row>
    <row r="12">
      <c r="A12" s="6" t="inlineStr">
        <is>
          <t>premium_templates</t>
        </is>
      </c>
      <c r="B12" s="6" t="inlineStr">
        <is>
          <t>flag(1/0)</t>
        </is>
      </c>
      <c r="C12" s="6" t="inlineStr">
        <is>
          <t>boolean</t>
        </is>
      </c>
      <c r="D12" s="6" t="n">
        <v>0</v>
      </c>
      <c r="E12" s="6" t="n">
        <v>1</v>
      </c>
      <c r="F12" s="6" t="n">
        <v>1</v>
      </c>
      <c r="G12" s="6" t="n">
        <v>1</v>
      </c>
      <c r="H12" s="8" t="n">
        <v>0</v>
      </c>
      <c r="I12" s="7" t="inlineStr">
        <is>
          <t>Source row "Premium Templates"</t>
        </is>
      </c>
    </row>
    <row r="13">
      <c r="A13" s="6" t="inlineStr">
        <is>
          <t>staff_accounts</t>
        </is>
      </c>
      <c r="B13" s="6" t="inlineStr">
        <is>
          <t>flag(1/0)</t>
        </is>
      </c>
      <c r="C13" s="6" t="inlineStr">
        <is>
          <t>boolean</t>
        </is>
      </c>
      <c r="D13" s="6" t="n">
        <v>0</v>
      </c>
      <c r="E13" s="6" t="n">
        <v>1</v>
      </c>
      <c r="F13" s="6" t="n">
        <v>1</v>
      </c>
      <c r="G13" s="6" t="n">
        <v>1</v>
      </c>
      <c r="H13" s="8" t="n">
        <v>0</v>
      </c>
      <c r="I13" s="7" t="inlineStr">
        <is>
          <t>Source row "Staff accounts creation"</t>
        </is>
      </c>
    </row>
    <row r="14">
      <c r="A14" s="6" t="inlineStr">
        <is>
          <t>seo_auto_generation</t>
        </is>
      </c>
      <c r="B14" s="6" t="inlineStr">
        <is>
          <t>flag(1/0)</t>
        </is>
      </c>
      <c r="C14" s="6" t="inlineStr">
        <is>
          <t>boolean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8" t="n">
        <v>0</v>
      </c>
      <c r="I14" s="7" t="inlineStr">
        <is>
          <t>Source row "SEO Content Auto Generation"</t>
        </is>
      </c>
    </row>
    <row r="15">
      <c r="A15" s="6" t="inlineStr">
        <is>
          <t>aeo_data_feeding</t>
        </is>
      </c>
      <c r="B15" s="6" t="inlineStr">
        <is>
          <t>flag(1/0)</t>
        </is>
      </c>
      <c r="C15" s="6" t="inlineStr">
        <is>
          <t>boolean</t>
        </is>
      </c>
      <c r="D15" s="6" t="n">
        <v>0</v>
      </c>
      <c r="E15" s="6" t="n">
        <v>1</v>
      </c>
      <c r="F15" s="6" t="n">
        <v>1</v>
      </c>
      <c r="G15" s="6" t="n">
        <v>1</v>
      </c>
      <c r="H15" s="8" t="n">
        <v>0</v>
      </c>
      <c r="I15" s="7" t="inlineStr">
        <is>
          <t>Source row "AEO Data feeding"</t>
        </is>
      </c>
    </row>
    <row r="16">
      <c r="A16" s="6" t="inlineStr">
        <is>
          <t>gemini_ai_key_integration</t>
        </is>
      </c>
      <c r="B16" s="6" t="inlineStr">
        <is>
          <t>flag(1/0)</t>
        </is>
      </c>
      <c r="C16" s="6" t="inlineStr">
        <is>
          <t>boolean</t>
        </is>
      </c>
      <c r="D16" s="6" t="n">
        <v>0</v>
      </c>
      <c r="E16" s="6" t="n">
        <v>1</v>
      </c>
      <c r="F16" s="6" t="n">
        <v>1</v>
      </c>
      <c r="G16" s="6" t="n">
        <v>1</v>
      </c>
      <c r="H16" s="8" t="n">
        <v>0</v>
      </c>
      <c r="I16" s="7" t="inlineStr">
        <is>
          <t>Source row "Gemini AI key integration"</t>
        </is>
      </c>
    </row>
    <row r="17">
      <c r="A17" s="6" t="inlineStr">
        <is>
          <t>external_calendar_sync</t>
        </is>
      </c>
      <c r="B17" s="6" t="inlineStr">
        <is>
          <t>flag(1/0)</t>
        </is>
      </c>
      <c r="C17" s="6" t="inlineStr">
        <is>
          <t>boolean</t>
        </is>
      </c>
      <c r="D17" s="6" t="n">
        <v>0</v>
      </c>
      <c r="E17" s="6" t="n">
        <v>1</v>
      </c>
      <c r="F17" s="6" t="n">
        <v>1</v>
      </c>
      <c r="G17" s="6" t="n">
        <v>1</v>
      </c>
      <c r="H17" s="8" t="n">
        <v>0</v>
      </c>
      <c r="I17" s="7" t="inlineStr">
        <is>
          <t>Source row "External Calender sync"</t>
        </is>
      </c>
    </row>
    <row r="18">
      <c r="A18" s="6" t="inlineStr">
        <is>
          <t>transactional_email</t>
        </is>
      </c>
      <c r="B18" s="6" t="inlineStr">
        <is>
          <t>flag(1/0)</t>
        </is>
      </c>
      <c r="C18" s="6" t="inlineStr">
        <is>
          <t>boolean</t>
        </is>
      </c>
      <c r="D18" s="6" t="n">
        <v>1</v>
      </c>
      <c r="E18" s="6" t="n">
        <v>1</v>
      </c>
      <c r="F18" s="6" t="n">
        <v>1</v>
      </c>
      <c r="G18" s="6" t="n">
        <v>1</v>
      </c>
      <c r="H18" s="8" t="n">
        <v>0</v>
      </c>
      <c r="I18" s="7" t="inlineStr">
        <is>
          <t>Source row "Email notification -- Transactional"</t>
        </is>
      </c>
    </row>
    <row r="19">
      <c r="A19" s="6" t="inlineStr">
        <is>
          <t>marketing_email</t>
        </is>
      </c>
      <c r="B19" s="6" t="inlineStr">
        <is>
          <t>flag(1/0)</t>
        </is>
      </c>
      <c r="C19" s="6" t="inlineStr">
        <is>
          <t>boolean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8" t="n">
        <v>0</v>
      </c>
      <c r="I19" s="7" t="inlineStr">
        <is>
          <t>Source row "Email notification -- Marketing"</t>
        </is>
      </c>
    </row>
    <row r="20">
      <c r="A20" s="6" t="inlineStr">
        <is>
          <t>conversion_api_integration</t>
        </is>
      </c>
      <c r="B20" s="6" t="inlineStr">
        <is>
          <t>flag(1/0)</t>
        </is>
      </c>
      <c r="C20" s="6" t="inlineStr">
        <is>
          <t>boolean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8" t="n">
        <v>0</v>
      </c>
      <c r="I20" s="7" t="inlineStr">
        <is>
          <t>Source row "Coversion API integration"</t>
        </is>
      </c>
    </row>
    <row r="21">
      <c r="A21" s="6" t="inlineStr">
        <is>
          <t>addon_instance_domain_available</t>
        </is>
      </c>
      <c r="B21" s="6" t="inlineStr">
        <is>
          <t>flag(1/0)</t>
        </is>
      </c>
      <c r="C21" s="6" t="inlineStr">
        <is>
          <t>boolean</t>
        </is>
      </c>
      <c r="D21" s="6" t="n">
        <v>0</v>
      </c>
      <c r="E21" s="6" t="n">
        <v>1</v>
      </c>
      <c r="F21" s="6" t="n">
        <v>1</v>
      </c>
      <c r="G21" s="6" t="n">
        <v>1</v>
      </c>
      <c r="H21" s="8" t="n">
        <v>3</v>
      </c>
      <c r="I21" s="7" t="inlineStr">
        <is>
          <t>Source row "Add-on Instance + Domain"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0" customWidth="1" min="3" max="3"/>
  </cols>
  <sheetData>
    <row r="1">
      <c r="A1" s="4" t="inlineStr">
        <is>
          <t>Usage Inputs (Edit blue cells)</t>
        </is>
      </c>
    </row>
    <row r="3">
      <c r="A3" s="7" t="inlineStr">
        <is>
          <t>Current plan (free/starter/freelance/enterprise)</t>
        </is>
      </c>
      <c r="B3" s="13" t="inlineStr">
        <is>
          <t>starter</t>
        </is>
      </c>
    </row>
    <row r="4">
      <c r="A4" s="7" t="inlineStr">
        <is>
          <t>Billing cycle (monthly/annual)</t>
        </is>
      </c>
      <c r="B4" s="13" t="inlineStr">
        <is>
          <t>monthly</t>
        </is>
      </c>
    </row>
    <row r="5">
      <c r="A5" s="7" t="inlineStr"/>
      <c r="B5" s="6" t="inlineStr"/>
    </row>
    <row r="6">
      <c r="A6" s="7" t="inlineStr">
        <is>
          <t>instances_needed</t>
        </is>
      </c>
      <c r="B6" s="13" t="n">
        <v>1</v>
      </c>
    </row>
    <row r="7">
      <c r="A7" s="7" t="inlineStr">
        <is>
          <t>custom_domains_needed</t>
        </is>
      </c>
      <c r="B7" s="13" t="n">
        <v>1</v>
      </c>
    </row>
    <row r="8">
      <c r="A8" s="7" t="inlineStr">
        <is>
          <t>pages_per_site_needed</t>
        </is>
      </c>
      <c r="B8" s="13" t="n">
        <v>25</v>
      </c>
    </row>
    <row r="9">
      <c r="A9" s="7" t="inlineStr">
        <is>
          <t>bookings_per_day_needed</t>
        </is>
      </c>
      <c r="B9" s="13" t="n">
        <v>40</v>
      </c>
    </row>
    <row r="10">
      <c r="A10" s="7" t="inlineStr">
        <is>
          <t>active_services_needed</t>
        </is>
      </c>
      <c r="B10" s="13" t="n">
        <v>10</v>
      </c>
    </row>
    <row r="11">
      <c r="A11" s="7" t="inlineStr">
        <is>
          <t>inbox_messages_per_day_needed</t>
        </is>
      </c>
      <c r="B11" s="13" t="n">
        <v>220</v>
      </c>
    </row>
    <row r="12">
      <c r="A12" s="7" t="inlineStr">
        <is>
          <t>backlinks_needed</t>
        </is>
      </c>
      <c r="B12" s="13" t="n">
        <v>20</v>
      </c>
    </row>
    <row r="13">
      <c r="A13" s="7" t="inlineStr"/>
      <c r="B13" s="6" t="inlineStr"/>
    </row>
    <row r="14">
      <c r="A14" s="7" t="inlineStr">
        <is>
          <t>require_premium_templates (1/0)</t>
        </is>
      </c>
      <c r="B14" s="13" t="n">
        <v>1</v>
      </c>
    </row>
    <row r="15">
      <c r="A15" s="7" t="inlineStr">
        <is>
          <t>require_staff_accounts (1/0)</t>
        </is>
      </c>
      <c r="B15" s="13" t="n">
        <v>1</v>
      </c>
    </row>
    <row r="16">
      <c r="A16" s="7" t="inlineStr">
        <is>
          <t>require_marketing_email (1/0)</t>
        </is>
      </c>
      <c r="B16" s="13" t="n">
        <v>1</v>
      </c>
    </row>
    <row r="17">
      <c r="A17" s="7" t="inlineStr">
        <is>
          <t>require_seo_auto_generation (1/0)</t>
        </is>
      </c>
      <c r="B17" s="13" t="n">
        <v>1</v>
      </c>
    </row>
    <row r="18">
      <c r="A18" s="7" t="inlineStr">
        <is>
          <t>require_aeo_data_feeding (1/0)</t>
        </is>
      </c>
      <c r="B18" s="13" t="n">
        <v>1</v>
      </c>
    </row>
    <row r="19">
      <c r="A19" s="7" t="inlineStr">
        <is>
          <t>require_gemini_ai_key (1/0)</t>
        </is>
      </c>
      <c r="B19" s="13" t="n">
        <v>1</v>
      </c>
    </row>
    <row r="20">
      <c r="A20" s="7" t="inlineStr">
        <is>
          <t>require_external_calendar_sync (1/0)</t>
        </is>
      </c>
      <c r="B20" s="13" t="n">
        <v>1</v>
      </c>
    </row>
    <row r="23">
      <c r="A23" s="14" t="inlineStr">
        <is>
          <t>Tip: use 1 for required feature, 0 for not required.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22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>
      <c r="A1" s="4" t="inlineStr">
        <is>
          <t>Tier Fit + Total Cost Calculator</t>
        </is>
      </c>
    </row>
    <row r="3">
      <c r="A3" s="5" t="inlineStr">
        <is>
          <t>tier</t>
        </is>
      </c>
      <c r="B3" s="5" t="inlineStr">
        <is>
          <t>fit_limits</t>
        </is>
      </c>
      <c r="C3" s="5" t="inlineStr">
        <is>
          <t>fit_required_features</t>
        </is>
      </c>
      <c r="D3" s="5" t="inlineStr">
        <is>
          <t>addon_packs</t>
        </is>
      </c>
      <c r="E3" s="5" t="inlineStr">
        <is>
          <t>overage_messages_per_day</t>
        </is>
      </c>
      <c r="F3" s="5" t="inlineStr">
        <is>
          <t>base_monthly</t>
        </is>
      </c>
      <c r="G3" s="5" t="inlineStr">
        <is>
          <t>overage_monthly</t>
        </is>
      </c>
      <c r="H3" s="5" t="inlineStr">
        <is>
          <t>total_monthly</t>
        </is>
      </c>
      <c r="I3" s="5" t="inlineStr">
        <is>
          <t>total_annual</t>
        </is>
      </c>
      <c r="J3" s="5" t="inlineStr">
        <is>
          <t>eligible_monthly_cost</t>
        </is>
      </c>
      <c r="K3" s="5" t="inlineStr">
        <is>
          <t>recommended</t>
        </is>
      </c>
    </row>
    <row r="4">
      <c r="A4" s="6" t="inlineStr">
        <is>
          <t>free</t>
        </is>
      </c>
      <c r="B4" s="6">
        <f>AND(Usage_Input!$B$6&lt;=INDEX(Feature_Limits!$D:$G,MATCH("instances",Feature_Limits!$A:$A,0),MATCH($A4,Feature_Limits!$D$3:$G$3,0)),Usage_Input!$B$7&lt;=INDEX(Feature_Limits!$D:$G,MATCH("custom_domains_included",Feature_Limits!$A:$A,0),MATCH($A4,Feature_Limits!$D$3:$G$3,0)),Usage_Input!$B$8&lt;=INDEX(Feature_Limits!$D:$G,MATCH("pages_per_site",Feature_Limits!$A:$A,0),MATCH($A4,Feature_Limits!$D$3:$G$3,0)),Usage_Input!$B$9&lt;=INDEX(Feature_Limits!$D:$G,MATCH("bookings_per_day",Feature_Limits!$A:$A,0),MATCH($A4,Feature_Limits!$D$3:$G$3,0)),Usage_Input!$B$10&lt;=INDEX(Feature_Limits!$D:$G,MATCH("active_services",Feature_Limits!$A:$A,0),MATCH($A4,Feature_Limits!$D$3:$G$3,0)),Usage_Input!$B$12&lt;=INDEX(Feature_Limits!$D:$G,MATCH("backlinks",Feature_Limits!$A:$A,0),MATCH($A4,Feature_Limits!$D$3:$G$3,0)))</f>
        <v/>
      </c>
      <c r="C4" s="6">
        <f>AND(Usage_Input!$B$14&lt;=INDEX(Feature_Limits!$D:$G,MATCH("premium_templates",Feature_Limits!$A:$A,0),MATCH($A4,Feature_Limits!$D$3:$G$3,0)),Usage_Input!$B$15&lt;=INDEX(Feature_Limits!$D:$G,MATCH("staff_accounts",Feature_Limits!$A:$A,0),MATCH($A4,Feature_Limits!$D$3:$G$3,0)),Usage_Input!$B$16&lt;=INDEX(Feature_Limits!$D:$G,MATCH("marketing_email",Feature_Limits!$A:$A,0),MATCH($A4,Feature_Limits!$D$3:$G$3,0)),Usage_Input!$B$17&lt;=INDEX(Feature_Limits!$D:$G,MATCH("seo_auto_generation",Feature_Limits!$A:$A,0),MATCH($A4,Feature_Limits!$D$3:$G$3,0)),Usage_Input!$B$18&lt;=INDEX(Feature_Limits!$D:$G,MATCH("aeo_data_feeding",Feature_Limits!$A:$A,0),MATCH($A4,Feature_Limits!$D$3:$G$3,0)),Usage_Input!$B$19&lt;=INDEX(Feature_Limits!$D:$G,MATCH("gemini_ai_key_integration",Feature_Limits!$A:$A,0),MATCH($A4,Feature_Limits!$D$3:$G$3,0)),Usage_Input!$B$20&lt;=INDEX(Feature_Limits!$D:$G,MATCH("external_calendar_sync",Feature_Limits!$A:$A,0),MATCH($A4,Feature_Limits!$D$3:$G$3,0)))</f>
        <v/>
      </c>
      <c r="D4" s="6">
        <f>IF(INDEX(Feature_Limits!$D:$G,MATCH("addon_instance_domain_available",Feature_Limits!$A:$A,0),MATCH($A4,Feature_Limits!$D$3:$G$3,0))=1,MAX(0,Usage_Input!$B$6-INDEX(Feature_Limits!$D:$G,MATCH("instances",Feature_Limits!$A:$A,0),MATCH($A4,Feature_Limits!$D$3:$G$3,0)),Usage_Input!$B$7-INDEX(Feature_Limits!$D:$G,MATCH("custom_domains_included",Feature_Limits!$A:$A,0),MATCH($A4,Feature_Limits!$D$3:$G$3,0))),0)</f>
        <v/>
      </c>
      <c r="E4" s="6">
        <f>MAX(0,Usage_Input!$B$11-INDEX(Feature_Limits!$D:$G,MATCH("inbox_messages_per_day",Feature_Limits!$A:$A,0),MATCH($A4,Feature_Limits!$D$3:$G$3,0)))</f>
        <v/>
      </c>
      <c r="F4" s="8">
        <f>INDEX(Plan_Pricing_Proposed!$B:$B,MATCH($A4,Plan_Pricing_Proposed!$A:$A,0))</f>
        <v/>
      </c>
      <c r="G4" s="8">
        <f>D4*INDEX(Feature_Limits!$H:$H,MATCH("addon_instance_domain_available",Feature_Limits!$A:$A,0))+E4*30*INDEX(Feature_Limits!$H:$H,MATCH("inbox_messages_per_day",Feature_Limits!$A:$A,0))+IF($A4="free",Usage_Input!$B$7*Plan_Pricing_Proposed!$B$14,0)</f>
        <v/>
      </c>
      <c r="H4" s="8">
        <f>F4+G4</f>
        <v/>
      </c>
      <c r="I4" s="8">
        <f>INDEX(Plan_Pricing_Proposed!$C:$C,MATCH($A4,Plan_Pricing_Proposed!$A:$A,0))+D4*Plan_Pricing_Proposed!$C$12+E4*365*INDEX(Feature_Limits!$H:$H,MATCH("inbox_messages_per_day",Feature_Limits!$A:$A,0))+IF($A4="free",Usage_Input!$B$7*Plan_Pricing_Proposed!$C$14,0)</f>
        <v/>
      </c>
      <c r="J4" s="8">
        <f>IF(AND(B4=TRUE,C4=TRUE),H4,999999999)</f>
        <v/>
      </c>
      <c r="K4" s="6">
        <f>IF(AND(J4=MIN($J$4:$J$7),J4&lt;999999999),"YES","")</f>
        <v/>
      </c>
    </row>
    <row r="5">
      <c r="A5" s="6" t="inlineStr">
        <is>
          <t>starter</t>
        </is>
      </c>
      <c r="B5" s="6">
        <f>AND(Usage_Input!$B$6&lt;=INDEX(Feature_Limits!$D:$G,MATCH("instances",Feature_Limits!$A:$A,0),MATCH($A5,Feature_Limits!$D$3:$G$3,0)),Usage_Input!$B$7&lt;=INDEX(Feature_Limits!$D:$G,MATCH("custom_domains_included",Feature_Limits!$A:$A,0),MATCH($A5,Feature_Limits!$D$3:$G$3,0)),Usage_Input!$B$8&lt;=INDEX(Feature_Limits!$D:$G,MATCH("pages_per_site",Feature_Limits!$A:$A,0),MATCH($A5,Feature_Limits!$D$3:$G$3,0)),Usage_Input!$B$9&lt;=INDEX(Feature_Limits!$D:$G,MATCH("bookings_per_day",Feature_Limits!$A:$A,0),MATCH($A5,Feature_Limits!$D$3:$G$3,0)),Usage_Input!$B$10&lt;=INDEX(Feature_Limits!$D:$G,MATCH("active_services",Feature_Limits!$A:$A,0),MATCH($A5,Feature_Limits!$D$3:$G$3,0)),Usage_Input!$B$12&lt;=INDEX(Feature_Limits!$D:$G,MATCH("backlinks",Feature_Limits!$A:$A,0),MATCH($A5,Feature_Limits!$D$3:$G$3,0)))</f>
        <v/>
      </c>
      <c r="C5" s="6">
        <f>AND(Usage_Input!$B$14&lt;=INDEX(Feature_Limits!$D:$G,MATCH("premium_templates",Feature_Limits!$A:$A,0),MATCH($A5,Feature_Limits!$D$3:$G$3,0)),Usage_Input!$B$15&lt;=INDEX(Feature_Limits!$D:$G,MATCH("staff_accounts",Feature_Limits!$A:$A,0),MATCH($A5,Feature_Limits!$D$3:$G$3,0)),Usage_Input!$B$16&lt;=INDEX(Feature_Limits!$D:$G,MATCH("marketing_email",Feature_Limits!$A:$A,0),MATCH($A5,Feature_Limits!$D$3:$G$3,0)),Usage_Input!$B$17&lt;=INDEX(Feature_Limits!$D:$G,MATCH("seo_auto_generation",Feature_Limits!$A:$A,0),MATCH($A5,Feature_Limits!$D$3:$G$3,0)),Usage_Input!$B$18&lt;=INDEX(Feature_Limits!$D:$G,MATCH("aeo_data_feeding",Feature_Limits!$A:$A,0),MATCH($A5,Feature_Limits!$D$3:$G$3,0)),Usage_Input!$B$19&lt;=INDEX(Feature_Limits!$D:$G,MATCH("gemini_ai_key_integration",Feature_Limits!$A:$A,0),MATCH($A5,Feature_Limits!$D$3:$G$3,0)),Usage_Input!$B$20&lt;=INDEX(Feature_Limits!$D:$G,MATCH("external_calendar_sync",Feature_Limits!$A:$A,0),MATCH($A5,Feature_Limits!$D$3:$G$3,0)))</f>
        <v/>
      </c>
      <c r="D5" s="6">
        <f>IF(INDEX(Feature_Limits!$D:$G,MATCH("addon_instance_domain_available",Feature_Limits!$A:$A,0),MATCH($A5,Feature_Limits!$D$3:$G$3,0))=1,MAX(0,Usage_Input!$B$6-INDEX(Feature_Limits!$D:$G,MATCH("instances",Feature_Limits!$A:$A,0),MATCH($A5,Feature_Limits!$D$3:$G$3,0)),Usage_Input!$B$7-INDEX(Feature_Limits!$D:$G,MATCH("custom_domains_included",Feature_Limits!$A:$A,0),MATCH($A5,Feature_Limits!$D$3:$G$3,0))),0)</f>
        <v/>
      </c>
      <c r="E5" s="6">
        <f>MAX(0,Usage_Input!$B$11-INDEX(Feature_Limits!$D:$G,MATCH("inbox_messages_per_day",Feature_Limits!$A:$A,0),MATCH($A5,Feature_Limits!$D$3:$G$3,0)))</f>
        <v/>
      </c>
      <c r="F5" s="8">
        <f>INDEX(Plan_Pricing_Proposed!$B:$B,MATCH($A5,Plan_Pricing_Proposed!$A:$A,0))</f>
        <v/>
      </c>
      <c r="G5" s="8">
        <f>D5*INDEX(Feature_Limits!$H:$H,MATCH("addon_instance_domain_available",Feature_Limits!$A:$A,0))+E5*30*INDEX(Feature_Limits!$H:$H,MATCH("inbox_messages_per_day",Feature_Limits!$A:$A,0))+IF($A5="free",Usage_Input!$B$7*Plan_Pricing_Proposed!$B$14,0)</f>
        <v/>
      </c>
      <c r="H5" s="8">
        <f>F5+G5</f>
        <v/>
      </c>
      <c r="I5" s="8">
        <f>INDEX(Plan_Pricing_Proposed!$C:$C,MATCH($A5,Plan_Pricing_Proposed!$A:$A,0))+D5*Plan_Pricing_Proposed!$C$12+E5*365*INDEX(Feature_Limits!$H:$H,MATCH("inbox_messages_per_day",Feature_Limits!$A:$A,0))+IF($A5="free",Usage_Input!$B$7*Plan_Pricing_Proposed!$C$14,0)</f>
        <v/>
      </c>
      <c r="J5" s="8">
        <f>IF(AND(B5=TRUE,C5=TRUE),H5,999999999)</f>
        <v/>
      </c>
      <c r="K5" s="6">
        <f>IF(AND(J5=MIN($J$4:$J$7),J5&lt;999999999),"YES","")</f>
        <v/>
      </c>
    </row>
    <row r="6">
      <c r="A6" s="6" t="inlineStr">
        <is>
          <t>freelance</t>
        </is>
      </c>
      <c r="B6" s="6">
        <f>AND(Usage_Input!$B$6&lt;=INDEX(Feature_Limits!$D:$G,MATCH("instances",Feature_Limits!$A:$A,0),MATCH($A6,Feature_Limits!$D$3:$G$3,0)),Usage_Input!$B$7&lt;=INDEX(Feature_Limits!$D:$G,MATCH("custom_domains_included",Feature_Limits!$A:$A,0),MATCH($A6,Feature_Limits!$D$3:$G$3,0)),Usage_Input!$B$8&lt;=INDEX(Feature_Limits!$D:$G,MATCH("pages_per_site",Feature_Limits!$A:$A,0),MATCH($A6,Feature_Limits!$D$3:$G$3,0)),Usage_Input!$B$9&lt;=INDEX(Feature_Limits!$D:$G,MATCH("bookings_per_day",Feature_Limits!$A:$A,0),MATCH($A6,Feature_Limits!$D$3:$G$3,0)),Usage_Input!$B$10&lt;=INDEX(Feature_Limits!$D:$G,MATCH("active_services",Feature_Limits!$A:$A,0),MATCH($A6,Feature_Limits!$D$3:$G$3,0)),Usage_Input!$B$12&lt;=INDEX(Feature_Limits!$D:$G,MATCH("backlinks",Feature_Limits!$A:$A,0),MATCH($A6,Feature_Limits!$D$3:$G$3,0)))</f>
        <v/>
      </c>
      <c r="C6" s="6">
        <f>AND(Usage_Input!$B$14&lt;=INDEX(Feature_Limits!$D:$G,MATCH("premium_templates",Feature_Limits!$A:$A,0),MATCH($A6,Feature_Limits!$D$3:$G$3,0)),Usage_Input!$B$15&lt;=INDEX(Feature_Limits!$D:$G,MATCH("staff_accounts",Feature_Limits!$A:$A,0),MATCH($A6,Feature_Limits!$D$3:$G$3,0)),Usage_Input!$B$16&lt;=INDEX(Feature_Limits!$D:$G,MATCH("marketing_email",Feature_Limits!$A:$A,0),MATCH($A6,Feature_Limits!$D$3:$G$3,0)),Usage_Input!$B$17&lt;=INDEX(Feature_Limits!$D:$G,MATCH("seo_auto_generation",Feature_Limits!$A:$A,0),MATCH($A6,Feature_Limits!$D$3:$G$3,0)),Usage_Input!$B$18&lt;=INDEX(Feature_Limits!$D:$G,MATCH("aeo_data_feeding",Feature_Limits!$A:$A,0),MATCH($A6,Feature_Limits!$D$3:$G$3,0)),Usage_Input!$B$19&lt;=INDEX(Feature_Limits!$D:$G,MATCH("gemini_ai_key_integration",Feature_Limits!$A:$A,0),MATCH($A6,Feature_Limits!$D$3:$G$3,0)),Usage_Input!$B$20&lt;=INDEX(Feature_Limits!$D:$G,MATCH("external_calendar_sync",Feature_Limits!$A:$A,0),MATCH($A6,Feature_Limits!$D$3:$G$3,0)))</f>
        <v/>
      </c>
      <c r="D6" s="6">
        <f>IF(INDEX(Feature_Limits!$D:$G,MATCH("addon_instance_domain_available",Feature_Limits!$A:$A,0),MATCH($A6,Feature_Limits!$D$3:$G$3,0))=1,MAX(0,Usage_Input!$B$6-INDEX(Feature_Limits!$D:$G,MATCH("instances",Feature_Limits!$A:$A,0),MATCH($A6,Feature_Limits!$D$3:$G$3,0)),Usage_Input!$B$7-INDEX(Feature_Limits!$D:$G,MATCH("custom_domains_included",Feature_Limits!$A:$A,0),MATCH($A6,Feature_Limits!$D$3:$G$3,0))),0)</f>
        <v/>
      </c>
      <c r="E6" s="6">
        <f>MAX(0,Usage_Input!$B$11-INDEX(Feature_Limits!$D:$G,MATCH("inbox_messages_per_day",Feature_Limits!$A:$A,0),MATCH($A6,Feature_Limits!$D$3:$G$3,0)))</f>
        <v/>
      </c>
      <c r="F6" s="8">
        <f>INDEX(Plan_Pricing_Proposed!$B:$B,MATCH($A6,Plan_Pricing_Proposed!$A:$A,0))</f>
        <v/>
      </c>
      <c r="G6" s="8">
        <f>D6*INDEX(Feature_Limits!$H:$H,MATCH("addon_instance_domain_available",Feature_Limits!$A:$A,0))+E6*30*INDEX(Feature_Limits!$H:$H,MATCH("inbox_messages_per_day",Feature_Limits!$A:$A,0))+IF($A6="free",Usage_Input!$B$7*Plan_Pricing_Proposed!$B$14,0)</f>
        <v/>
      </c>
      <c r="H6" s="8">
        <f>F6+G6</f>
        <v/>
      </c>
      <c r="I6" s="8">
        <f>INDEX(Plan_Pricing_Proposed!$C:$C,MATCH($A6,Plan_Pricing_Proposed!$A:$A,0))+D6*Plan_Pricing_Proposed!$C$12+E6*365*INDEX(Feature_Limits!$H:$H,MATCH("inbox_messages_per_day",Feature_Limits!$A:$A,0))+IF($A6="free",Usage_Input!$B$7*Plan_Pricing_Proposed!$C$14,0)</f>
        <v/>
      </c>
      <c r="J6" s="8">
        <f>IF(AND(B6=TRUE,C6=TRUE),H6,999999999)</f>
        <v/>
      </c>
      <c r="K6" s="6">
        <f>IF(AND(J6=MIN($J$4:$J$7),J6&lt;999999999),"YES","")</f>
        <v/>
      </c>
    </row>
    <row r="7">
      <c r="A7" s="6" t="inlineStr">
        <is>
          <t>enterprise</t>
        </is>
      </c>
      <c r="B7" s="6">
        <f>AND(Usage_Input!$B$6&lt;=INDEX(Feature_Limits!$D:$G,MATCH("instances",Feature_Limits!$A:$A,0),MATCH($A7,Feature_Limits!$D$3:$G$3,0)),Usage_Input!$B$7&lt;=INDEX(Feature_Limits!$D:$G,MATCH("custom_domains_included",Feature_Limits!$A:$A,0),MATCH($A7,Feature_Limits!$D$3:$G$3,0)),Usage_Input!$B$8&lt;=INDEX(Feature_Limits!$D:$G,MATCH("pages_per_site",Feature_Limits!$A:$A,0),MATCH($A7,Feature_Limits!$D$3:$G$3,0)),Usage_Input!$B$9&lt;=INDEX(Feature_Limits!$D:$G,MATCH("bookings_per_day",Feature_Limits!$A:$A,0),MATCH($A7,Feature_Limits!$D$3:$G$3,0)),Usage_Input!$B$10&lt;=INDEX(Feature_Limits!$D:$G,MATCH("active_services",Feature_Limits!$A:$A,0),MATCH($A7,Feature_Limits!$D$3:$G$3,0)),Usage_Input!$B$12&lt;=INDEX(Feature_Limits!$D:$G,MATCH("backlinks",Feature_Limits!$A:$A,0),MATCH($A7,Feature_Limits!$D$3:$G$3,0)))</f>
        <v/>
      </c>
      <c r="C7" s="6">
        <f>AND(Usage_Input!$B$14&lt;=INDEX(Feature_Limits!$D:$G,MATCH("premium_templates",Feature_Limits!$A:$A,0),MATCH($A7,Feature_Limits!$D$3:$G$3,0)),Usage_Input!$B$15&lt;=INDEX(Feature_Limits!$D:$G,MATCH("staff_accounts",Feature_Limits!$A:$A,0),MATCH($A7,Feature_Limits!$D$3:$G$3,0)),Usage_Input!$B$16&lt;=INDEX(Feature_Limits!$D:$G,MATCH("marketing_email",Feature_Limits!$A:$A,0),MATCH($A7,Feature_Limits!$D$3:$G$3,0)),Usage_Input!$B$17&lt;=INDEX(Feature_Limits!$D:$G,MATCH("seo_auto_generation",Feature_Limits!$A:$A,0),MATCH($A7,Feature_Limits!$D$3:$G$3,0)),Usage_Input!$B$18&lt;=INDEX(Feature_Limits!$D:$G,MATCH("aeo_data_feeding",Feature_Limits!$A:$A,0),MATCH($A7,Feature_Limits!$D$3:$G$3,0)),Usage_Input!$B$19&lt;=INDEX(Feature_Limits!$D:$G,MATCH("gemini_ai_key_integration",Feature_Limits!$A:$A,0),MATCH($A7,Feature_Limits!$D$3:$G$3,0)),Usage_Input!$B$20&lt;=INDEX(Feature_Limits!$D:$G,MATCH("external_calendar_sync",Feature_Limits!$A:$A,0),MATCH($A7,Feature_Limits!$D$3:$G$3,0)))</f>
        <v/>
      </c>
      <c r="D7" s="6">
        <f>IF(INDEX(Feature_Limits!$D:$G,MATCH("addon_instance_domain_available",Feature_Limits!$A:$A,0),MATCH($A7,Feature_Limits!$D$3:$G$3,0))=1,MAX(0,Usage_Input!$B$6-INDEX(Feature_Limits!$D:$G,MATCH("instances",Feature_Limits!$A:$A,0),MATCH($A7,Feature_Limits!$D$3:$G$3,0)),Usage_Input!$B$7-INDEX(Feature_Limits!$D:$G,MATCH("custom_domains_included",Feature_Limits!$A:$A,0),MATCH($A7,Feature_Limits!$D$3:$G$3,0))),0)</f>
        <v/>
      </c>
      <c r="E7" s="6">
        <f>MAX(0,Usage_Input!$B$11-INDEX(Feature_Limits!$D:$G,MATCH("inbox_messages_per_day",Feature_Limits!$A:$A,0),MATCH($A7,Feature_Limits!$D$3:$G$3,0)))</f>
        <v/>
      </c>
      <c r="F7" s="8">
        <f>INDEX(Plan_Pricing_Proposed!$B:$B,MATCH($A7,Plan_Pricing_Proposed!$A:$A,0))</f>
        <v/>
      </c>
      <c r="G7" s="8">
        <f>D7*INDEX(Feature_Limits!$H:$H,MATCH("addon_instance_domain_available",Feature_Limits!$A:$A,0))+E7*30*INDEX(Feature_Limits!$H:$H,MATCH("inbox_messages_per_day",Feature_Limits!$A:$A,0))+IF($A7="free",Usage_Input!$B$7*Plan_Pricing_Proposed!$B$14,0)</f>
        <v/>
      </c>
      <c r="H7" s="8">
        <f>F7+G7</f>
        <v/>
      </c>
      <c r="I7" s="8">
        <f>INDEX(Plan_Pricing_Proposed!$C:$C,MATCH($A7,Plan_Pricing_Proposed!$A:$A,0))+D7*Plan_Pricing_Proposed!$C$12+E7*365*INDEX(Feature_Limits!$H:$H,MATCH("inbox_messages_per_day",Feature_Limits!$A:$A,0))+IF($A7="free",Usage_Input!$B$7*Plan_Pricing_Proposed!$C$14,0)</f>
        <v/>
      </c>
      <c r="J7" s="8">
        <f>IF(AND(B7=TRUE,C7=TRUE),H7,999999999)</f>
        <v/>
      </c>
      <c r="K7" s="6">
        <f>IF(AND(J7=MIN($J$4:$J$7),J7&lt;999999999),"YES","")</f>
        <v/>
      </c>
    </row>
    <row r="10">
      <c r="A10" s="15" t="inlineStr">
        <is>
          <t>Current plan monthly cost</t>
        </is>
      </c>
      <c r="B10" s="16">
        <f>INDEX(H4:H7,MATCH(Usage_Input!$B$3,A4:A7,0))</f>
        <v/>
      </c>
    </row>
    <row r="11">
      <c r="A11" s="15" t="inlineStr">
        <is>
          <t>Recommended tier</t>
        </is>
      </c>
      <c r="B11" s="17">
        <f>INDEX(A4:A7,MATCH("YES",K4:K7,0))</f>
        <v/>
      </c>
    </row>
    <row r="12">
      <c r="A12" s="15" t="inlineStr">
        <is>
          <t>Recommended monthly cost</t>
        </is>
      </c>
      <c r="B12" s="16">
        <f>MIN(J4:J7)</f>
        <v/>
      </c>
    </row>
    <row r="13">
      <c r="A13" s="15" t="inlineStr">
        <is>
          <t>Savings vs current plan</t>
        </is>
      </c>
      <c r="B13" s="16">
        <f>B10-B12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2" customWidth="1" min="3" max="3"/>
    <col width="28" customWidth="1" min="4" max="4"/>
    <col width="34" customWidth="1" min="5" max="5"/>
    <col width="30" customWidth="1" min="6" max="6"/>
  </cols>
  <sheetData>
    <row r="1">
      <c r="A1" s="4" t="inlineStr">
        <is>
          <t>Upgrade Passage Mechanism (How users move to higher tier)</t>
        </is>
      </c>
    </row>
    <row r="3">
      <c r="A3" s="2" t="inlineStr">
        <is>
          <t>Live Recommendation</t>
        </is>
      </c>
    </row>
    <row r="4">
      <c r="A4" s="15" t="inlineStr">
        <is>
          <t>Current plan</t>
        </is>
      </c>
      <c r="B4" s="17">
        <f>Usage_Input!B3</f>
        <v/>
      </c>
    </row>
    <row r="5">
      <c r="A5" s="15" t="inlineStr">
        <is>
          <t>Recommended next plan</t>
        </is>
      </c>
      <c r="B5" s="17">
        <f>Tier_Calculator!B11</f>
        <v/>
      </c>
    </row>
    <row r="6">
      <c r="A6" s="15" t="inlineStr">
        <is>
          <t>Upgrade needed?</t>
        </is>
      </c>
      <c r="B6" s="17">
        <f>IF(B4=B5,"No","Yes")</f>
        <v/>
      </c>
    </row>
    <row r="7">
      <c r="A7" s="15" t="inlineStr">
        <is>
          <t>Current monthly cost</t>
        </is>
      </c>
      <c r="B7" s="16">
        <f>Tier_Calculator!B10</f>
        <v/>
      </c>
    </row>
    <row r="8">
      <c r="A8" s="15" t="inlineStr">
        <is>
          <t>Recommended monthly cost</t>
        </is>
      </c>
      <c r="B8" s="16">
        <f>Tier_Calculator!B12</f>
        <v/>
      </c>
    </row>
    <row r="9">
      <c r="A9" s="15" t="inlineStr">
        <is>
          <t>Cost delta (current - recommended)</t>
        </is>
      </c>
      <c r="B9" s="16">
        <f>B7-B8</f>
        <v/>
      </c>
    </row>
    <row r="12">
      <c r="A12" s="2" t="inlineStr">
        <is>
          <t>Operational Rules</t>
        </is>
      </c>
    </row>
    <row r="13">
      <c r="A13" s="5" t="inlineStr">
        <is>
          <t>Rule ID</t>
        </is>
      </c>
      <c r="B13" s="5" t="inlineStr">
        <is>
          <t>Trigger</t>
        </is>
      </c>
      <c r="C13" s="5" t="inlineStr">
        <is>
          <t>Condition</t>
        </is>
      </c>
      <c r="D13" s="5" t="inlineStr">
        <is>
          <t>Action</t>
        </is>
      </c>
      <c r="E13" s="5" t="inlineStr">
        <is>
          <t>Customer Message</t>
        </is>
      </c>
      <c r="F13" s="5" t="inlineStr">
        <is>
          <t>System Hook</t>
        </is>
      </c>
    </row>
    <row r="14">
      <c r="A14" s="6" t="inlineStr">
        <is>
          <t>R1</t>
        </is>
      </c>
      <c r="B14" s="6" t="inlineStr">
        <is>
          <t>Soft threshold</t>
        </is>
      </c>
      <c r="C14" s="7" t="inlineStr">
        <is>
          <t>Any key metric &gt;= 80% of plan limit for 3 days</t>
        </is>
      </c>
      <c r="D14" s="7" t="inlineStr">
        <is>
          <t>Show in-app warning + email</t>
        </is>
      </c>
      <c r="E14" s="7" t="inlineStr">
        <is>
          <t>You are close to your plan limit.</t>
        </is>
      </c>
      <c r="F14" s="7" t="inlineStr">
        <is>
          <t>daily usage job + notification service</t>
        </is>
      </c>
    </row>
    <row r="15">
      <c r="A15" s="6" t="inlineStr">
        <is>
          <t>R2</t>
        </is>
      </c>
      <c r="B15" s="6" t="inlineStr">
        <is>
          <t>Hard threshold</t>
        </is>
      </c>
      <c r="C15" s="7" t="inlineStr">
        <is>
          <t>Any hard-limited metric &gt; 100%</t>
        </is>
      </c>
      <c r="D15" s="7" t="inlineStr">
        <is>
          <t>Block new creation OR sell add-on pack</t>
        </is>
      </c>
      <c r="E15" s="7" t="inlineStr">
        <is>
          <t>Limit reached. Upgrade or buy add-on.</t>
        </is>
      </c>
      <c r="F15" s="7" t="inlineStr">
        <is>
          <t>write-time entitlement guard</t>
        </is>
      </c>
    </row>
    <row r="16">
      <c r="A16" s="6" t="inlineStr">
        <is>
          <t>R3</t>
        </is>
      </c>
      <c r="B16" s="6" t="inlineStr">
        <is>
          <t>Feature mismatch</t>
        </is>
      </c>
      <c r="C16" s="7" t="inlineStr">
        <is>
          <t>User enables a feature not in current plan</t>
        </is>
      </c>
      <c r="D16" s="7" t="inlineStr">
        <is>
          <t>Prompt immediate upgrade CTA</t>
        </is>
      </c>
      <c r="E16" s="7" t="inlineStr">
        <is>
          <t>This feature needs a higher plan.</t>
        </is>
      </c>
      <c r="F16" s="7" t="inlineStr">
        <is>
          <t>feature flag middleware</t>
        </is>
      </c>
    </row>
    <row r="17">
      <c r="A17" s="6" t="inlineStr">
        <is>
          <t>R4</t>
        </is>
      </c>
      <c r="B17" s="6" t="inlineStr">
        <is>
          <t>Economic trigger</t>
        </is>
      </c>
      <c r="C17" s="7" t="inlineStr">
        <is>
          <t>Overage spend &gt; 80% of next-tier base for month</t>
        </is>
      </c>
      <c r="D17" s="7" t="inlineStr">
        <is>
          <t>Recommend plan switch</t>
        </is>
      </c>
      <c r="E17" s="7" t="inlineStr">
        <is>
          <t>Upgrade now to save costs.</t>
        </is>
      </c>
      <c r="F17" s="7" t="inlineStr">
        <is>
          <t>monthly billing optimizer</t>
        </is>
      </c>
    </row>
    <row r="18">
      <c r="A18" s="6" t="inlineStr">
        <is>
          <t>R5</t>
        </is>
      </c>
      <c r="B18" s="6" t="inlineStr">
        <is>
          <t>Stability trigger</t>
        </is>
      </c>
      <c r="C18" s="7" t="inlineStr">
        <is>
          <t>Trigger R4 for 2 consecutive months</t>
        </is>
      </c>
      <c r="D18" s="7" t="inlineStr">
        <is>
          <t>Auto-recommend in checkout flow</t>
        </is>
      </c>
      <c r="E18" s="7" t="inlineStr">
        <is>
          <t>Your usage trend fits the next tier.</t>
        </is>
      </c>
      <c r="F18" s="7" t="inlineStr">
        <is>
          <t>billing cycle finalizer</t>
        </is>
      </c>
    </row>
    <row r="19">
      <c r="A19" s="6" t="inlineStr">
        <is>
          <t>R6</t>
        </is>
      </c>
      <c r="B19" s="6" t="inlineStr">
        <is>
          <t>Downgrade protection</t>
        </is>
      </c>
      <c r="C19" s="7" t="inlineStr">
        <is>
          <t>Usage below 60% for 2 months</t>
        </is>
      </c>
      <c r="D19" s="7" t="inlineStr">
        <is>
          <t>Suggest downgrade before renewal</t>
        </is>
      </c>
      <c r="E19" s="7" t="inlineStr">
        <is>
          <t>You may reduce your plan cost.</t>
        </is>
      </c>
      <c r="F19" s="7" t="inlineStr">
        <is>
          <t>renewal pre-check job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44" customWidth="1" min="4" max="4"/>
    <col width="8" customWidth="1" min="5" max="5"/>
    <col width="8" customWidth="1" min="6" max="6"/>
  </cols>
  <sheetData>
    <row r="1">
      <c r="A1" s="4" t="inlineStr">
        <is>
          <t>Implementation Architecture (Mapped to current project)</t>
        </is>
      </c>
    </row>
    <row r="3">
      <c r="A3" s="2" t="inlineStr">
        <is>
          <t>Current project alignment</t>
        </is>
      </c>
    </row>
    <row r="4">
      <c r="A4" s="5" t="inlineStr">
        <is>
          <t>Area</t>
        </is>
      </c>
      <c r="B4" s="5" t="inlineStr">
        <is>
          <t>What exists</t>
        </is>
      </c>
      <c r="C4" s="5" t="inlineStr">
        <is>
          <t>Reference</t>
        </is>
      </c>
      <c r="D4" s="5" t="inlineStr">
        <is>
          <t>Action</t>
        </is>
      </c>
    </row>
    <row r="5">
      <c r="A5" s="7" t="inlineStr">
        <is>
          <t>Existing tier enum</t>
        </is>
      </c>
      <c r="B5" s="7" t="inlineStr">
        <is>
          <t>free / starter / professional / enterprise</t>
        </is>
      </c>
      <c r="C5" s="7" t="inlineStr">
        <is>
          <t>packages/core/src/constants/index.ts</t>
        </is>
      </c>
      <c r="D5" s="7" t="inlineStr">
        <is>
          <t>Rename professional -&gt; freelance OR map alias in pricing catalog</t>
        </is>
      </c>
    </row>
    <row r="6">
      <c r="A6" s="7" t="inlineStr">
        <is>
          <t>Tenant plan field</t>
        </is>
      </c>
      <c r="B6" s="7" t="inlineStr">
        <is>
          <t>Tenant.plan (string, default starter)</t>
        </is>
      </c>
      <c r="C6" s="7" t="inlineStr">
        <is>
          <t>packages/database/prisma/schema.prisma</t>
        </is>
      </c>
      <c r="D6" s="7" t="inlineStr">
        <is>
          <t>Keep as source-of-truth for active plan key</t>
        </is>
      </c>
    </row>
    <row r="7">
      <c r="A7" s="7" t="inlineStr">
        <is>
          <t>Feature toggles</t>
        </is>
      </c>
      <c r="B7" s="7" t="inlineStr">
        <is>
          <t>Per-instance feature toggle model already exists</t>
        </is>
      </c>
      <c r="C7" s="7" t="inlineStr">
        <is>
          <t>Feature toggles APIs</t>
        </is>
      </c>
      <c r="D7" s="7" t="inlineStr">
        <is>
          <t>Use toggles for runtime entitlement gates by plan</t>
        </is>
      </c>
    </row>
    <row r="9">
      <c r="A9" s="2" t="inlineStr">
        <is>
          <t>Recommended pricing/billing data model (new tables)</t>
        </is>
      </c>
    </row>
    <row r="10">
      <c r="A10" s="11" t="inlineStr">
        <is>
          <t>Table</t>
        </is>
      </c>
      <c r="B10" s="11" t="inlineStr">
        <is>
          <t>Purpose</t>
        </is>
      </c>
      <c r="C10" s="11" t="inlineStr">
        <is>
          <t>Key fields</t>
        </is>
      </c>
    </row>
    <row r="11">
      <c r="A11" s="7" t="inlineStr">
        <is>
          <t>plan_catalog</t>
        </is>
      </c>
      <c r="B11" s="7" t="inlineStr">
        <is>
          <t>Versioned plan definitions</t>
        </is>
      </c>
      <c r="C11" s="7" t="inlineStr">
        <is>
          <t>plan_key, billing_cycle, base_price, currency, is_active, effective_from</t>
        </is>
      </c>
    </row>
    <row r="12">
      <c r="A12" s="7" t="inlineStr">
        <is>
          <t>plan_entitlements</t>
        </is>
      </c>
      <c r="B12" s="7" t="inlineStr">
        <is>
          <t>Limits + booleans per plan</t>
        </is>
      </c>
      <c r="C12" s="7" t="inlineStr">
        <is>
          <t>plan_catalog_id, metric_key, limit_value, bool_value, overage_rate</t>
        </is>
      </c>
    </row>
    <row r="13">
      <c r="A13" s="7" t="inlineStr">
        <is>
          <t>tenant_subscription</t>
        </is>
      </c>
      <c r="B13" s="7" t="inlineStr">
        <is>
          <t>Tenant billing state</t>
        </is>
      </c>
      <c r="C13" s="7" t="inlineStr">
        <is>
          <t>tenant_id, plan_key, status, cycle_start, cycle_end, next_plan_key</t>
        </is>
      </c>
    </row>
    <row r="14">
      <c r="A14" s="7" t="inlineStr">
        <is>
          <t>usage_events</t>
        </is>
      </c>
      <c r="B14" s="7" t="inlineStr">
        <is>
          <t>Raw metered events</t>
        </is>
      </c>
      <c r="C14" s="7" t="inlineStr">
        <is>
          <t>tenant_id, metric_key, quantity, occurred_at, metadata_json</t>
        </is>
      </c>
    </row>
    <row r="15">
      <c r="A15" s="7" t="inlineStr">
        <is>
          <t>usage_daily_rollup</t>
        </is>
      </c>
      <c r="B15" s="7" t="inlineStr">
        <is>
          <t>Fast aggregate for pricing</t>
        </is>
      </c>
      <c r="C15" s="7" t="inlineStr">
        <is>
          <t>tenant_id, metric_key, day, total_quantity</t>
        </is>
      </c>
    </row>
    <row r="16">
      <c r="A16" s="7" t="inlineStr">
        <is>
          <t>invoice_line_items</t>
        </is>
      </c>
      <c r="B16" s="7" t="inlineStr">
        <is>
          <t>Charge components</t>
        </is>
      </c>
      <c r="C16" s="7" t="inlineStr">
        <is>
          <t>tenant_id, cycle, type(base/overage/addon), amount, details_json</t>
        </is>
      </c>
    </row>
    <row r="17">
      <c r="A17" s="7" t="inlineStr">
        <is>
          <t>plan_change_log</t>
        </is>
      </c>
      <c r="B17" s="7" t="inlineStr">
        <is>
          <t>Audit trail for upgrades</t>
        </is>
      </c>
      <c r="C17" s="7" t="inlineStr">
        <is>
          <t>tenant_id, from_plan, to_plan, reason, actor, created_at</t>
        </is>
      </c>
    </row>
    <row r="20">
      <c r="A20" s="2" t="inlineStr">
        <is>
          <t>Request and processing flow</t>
        </is>
      </c>
    </row>
    <row r="21">
      <c r="A21" s="11" t="inlineStr">
        <is>
          <t>Step</t>
        </is>
      </c>
      <c r="B21" s="11" t="inlineStr">
        <is>
          <t>Service</t>
        </is>
      </c>
      <c r="C21" s="11" t="inlineStr">
        <is>
          <t>Input</t>
        </is>
      </c>
      <c r="D21" s="11" t="inlineStr">
        <is>
          <t>Output</t>
        </is>
      </c>
    </row>
    <row r="22">
      <c r="A22" s="7" t="inlineStr">
        <is>
          <t>1</t>
        </is>
      </c>
      <c r="B22" s="7" t="inlineStr">
        <is>
          <t>API write path (booking/service/page/domain actions)</t>
        </is>
      </c>
      <c r="C22" s="7" t="inlineStr">
        <is>
          <t>Tenant action</t>
        </is>
      </c>
      <c r="D22" s="7" t="inlineStr">
        <is>
          <t>usage_events insert</t>
        </is>
      </c>
    </row>
    <row r="23">
      <c r="A23" s="7" t="inlineStr">
        <is>
          <t>2</t>
        </is>
      </c>
      <c r="B23" s="7" t="inlineStr">
        <is>
          <t>Daily aggregator job</t>
        </is>
      </c>
      <c r="C23" s="7" t="inlineStr">
        <is>
          <t>usage_events</t>
        </is>
      </c>
      <c r="D23" s="7" t="inlineStr">
        <is>
          <t>usage_daily_rollup</t>
        </is>
      </c>
    </row>
    <row r="24">
      <c r="A24" s="7" t="inlineStr">
        <is>
          <t>3</t>
        </is>
      </c>
      <c r="B24" s="7" t="inlineStr">
        <is>
          <t>Pricing engine job</t>
        </is>
      </c>
      <c r="C24" s="7" t="inlineStr">
        <is>
          <t>rollups + entitlements + base plan</t>
        </is>
      </c>
      <c r="D24" s="7" t="inlineStr">
        <is>
          <t>monthly projected charge + triggers</t>
        </is>
      </c>
    </row>
    <row r="25">
      <c r="A25" s="7" t="inlineStr">
        <is>
          <t>4</t>
        </is>
      </c>
      <c r="B25" s="7" t="inlineStr">
        <is>
          <t>Entitlement middleware</t>
        </is>
      </c>
      <c r="C25" s="7" t="inlineStr">
        <is>
          <t>tenant.plan + plan_entitlements</t>
        </is>
      </c>
      <c r="D25" s="7" t="inlineStr">
        <is>
          <t>allow/deny + upgrade CTA</t>
        </is>
      </c>
    </row>
    <row r="26">
      <c r="A26" s="7" t="inlineStr">
        <is>
          <t>5</t>
        </is>
      </c>
      <c r="B26" s="7" t="inlineStr">
        <is>
          <t>Billing finalizer</t>
        </is>
      </c>
      <c r="C26" s="7" t="inlineStr">
        <is>
          <t>cycle totals</t>
        </is>
      </c>
      <c r="D26" s="7" t="inlineStr">
        <is>
          <t>invoice_line_items + payment request</t>
        </is>
      </c>
    </row>
    <row r="27">
      <c r="A27" s="7" t="inlineStr">
        <is>
          <t>6</t>
        </is>
      </c>
      <c r="B27" s="7" t="inlineStr">
        <is>
          <t>Plan switch handler</t>
        </is>
      </c>
      <c r="C27" s="7" t="inlineStr">
        <is>
          <t>user upgrade request or auto-recommend</t>
        </is>
      </c>
      <c r="D27" s="7" t="inlineStr">
        <is>
          <t>tenant_subscription update + plan_change_log</t>
        </is>
      </c>
    </row>
    <row r="30">
      <c r="A30" s="18" t="inlineStr">
        <is>
          <t>Implementation rule: keep the pricing engine pure (input usage + plan config -&gt; output invoice + recommendation), and keep API handlers thin.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2026-03-11T08:06:17Z</dcterms:created>
  <dcterms:modified xsi:type="dcterms:W3CDTF">2026-03-11T08:06:17Z</dcterms:modified>
</cp:coreProperties>
</file>